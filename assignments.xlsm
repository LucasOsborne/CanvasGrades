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s\Documents\CanvasGrades\"/>
    </mc:Choice>
  </mc:AlternateContent>
  <xr:revisionPtr revIDLastSave="0" documentId="13_ncr:1_{0D312D2C-FCB6-4A99-AEA0-773CD6F32A59}" xr6:coauthVersionLast="47" xr6:coauthVersionMax="47" xr10:uidLastSave="{00000000-0000-0000-0000-000000000000}"/>
  <bookViews>
    <workbookView xWindow="-110" yWindow="-110" windowWidth="25820" windowHeight="16220" xr2:uid="{00000000-000D-0000-FFFF-FFFF00000000}"/>
  </bookViews>
  <sheets>
    <sheet name="data" sheetId="2" r:id="rId1"/>
    <sheet name="Sheet" sheetId="1" r:id="rId2"/>
  </sheets>
  <definedNames>
    <definedName name="ExternalData_1" localSheetId="0" hidden="1">data!$A$1:$E$9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" l="1"/>
  <c r="C7" i="1"/>
  <c r="E8" i="1"/>
  <c r="D8" i="1"/>
  <c r="C8" i="1"/>
  <c r="B3" i="1"/>
  <c r="C3" i="1"/>
  <c r="D3" i="1"/>
  <c r="B4" i="1"/>
  <c r="C4" i="1"/>
  <c r="D4" i="1"/>
  <c r="E4" i="1"/>
  <c r="B5" i="1"/>
  <c r="C5" i="1"/>
  <c r="D5" i="1"/>
  <c r="E5" i="1"/>
  <c r="B6" i="1"/>
  <c r="C6" i="1"/>
  <c r="D6" i="1"/>
  <c r="E6" i="1"/>
  <c r="B7" i="1"/>
  <c r="D7" i="1"/>
  <c r="E7" i="1"/>
  <c r="C2" i="1"/>
  <c r="D2" i="1"/>
  <c r="E2" i="1"/>
  <c r="B2" i="1"/>
  <c r="F2" i="1" s="1" a="1"/>
  <c r="F2" i="1" s="1"/>
  <c r="B8" i="1"/>
  <c r="A3" i="1"/>
  <c r="A4" i="1"/>
  <c r="A5" i="1"/>
  <c r="A6" i="1"/>
  <c r="A7" i="1"/>
  <c r="A8" i="1"/>
  <c r="A2" i="1"/>
  <c r="F8" i="1" l="1" a="1"/>
  <c r="F8" i="1" s="1"/>
  <c r="F4" i="1" a="1"/>
  <c r="F4" i="1" s="1"/>
  <c r="F7" i="1" a="1"/>
  <c r="F7" i="1" s="1"/>
  <c r="F5" i="1" a="1"/>
  <c r="F5" i="1" s="1"/>
  <c r="F3" i="1" a="1"/>
  <c r="F3" i="1" s="1"/>
  <c r="F6" i="1" a="1"/>
  <c r="F6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772D1CC-9540-4AE4-B617-98A258C3D73E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<sst xmlns="http://schemas.openxmlformats.org/spreadsheetml/2006/main" count="51" uniqueCount="23">
  <si>
    <t>Unit</t>
  </si>
  <si>
    <t>Assignment 1</t>
  </si>
  <si>
    <t>Assignment 2</t>
  </si>
  <si>
    <t>Assignment 3</t>
  </si>
  <si>
    <t>Assignment 4</t>
  </si>
  <si>
    <t>Predicted</t>
  </si>
  <si>
    <t>Unit 01</t>
  </si>
  <si>
    <t>Not released yet</t>
  </si>
  <si>
    <t>Pass</t>
  </si>
  <si>
    <t>Distinction</t>
  </si>
  <si>
    <t>Merit</t>
  </si>
  <si>
    <t>Unit 12</t>
  </si>
  <si>
    <t>Not Submitted 28/04/2023</t>
  </si>
  <si>
    <t>N/A</t>
  </si>
  <si>
    <t>Unit 14</t>
  </si>
  <si>
    <t>Not graded yet</t>
  </si>
  <si>
    <t>Not Submitted 13/03/2023</t>
  </si>
  <si>
    <t>Unit 18</t>
  </si>
  <si>
    <t>Unit 30</t>
  </si>
  <si>
    <t>Not Submitted 11/05/2023</t>
  </si>
  <si>
    <t>Unit 31</t>
  </si>
  <si>
    <t>Unit 42</t>
  </si>
  <si>
    <t>Unit 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</si>
</sst>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20"/>
      <color theme="1"/>
      <name val="Amasis MT Pro Black"/>
      <family val="1"/>
    </font>
    <font>
      <sz val="18"/>
      <color theme="0"/>
      <name val="Amasis MT Pro Black"/>
      <family val="1"/>
    </font>
    <font>
      <sz val="18"/>
      <color theme="1"/>
      <name val="Amasis MT Pro Black"/>
      <family val="1"/>
    </font>
    <font>
      <sz val="16"/>
      <color theme="0"/>
      <name val="Amasis MT Pro Black"/>
      <family val="1"/>
    </font>
    <font>
      <sz val="20"/>
      <color theme="0"/>
      <name val="Amasis MT Pro Black"/>
      <family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3" borderId="0" xfId="0" applyFont="1" applyFill="1" applyAlignment="1">
      <alignment horizontal="center" vertical="center"/>
    </xf>
    <xf numFmtId="0" fontId="0" fillId="2" borderId="0" xfId="0" applyFill="1"/>
    <xf numFmtId="0" fontId="1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0" xfId="0" applyFont="1" applyFill="1"/>
    <xf numFmtId="0" fontId="2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</cellXfs>
  <cellStyles count="1">
    <cellStyle name="Normal" xfId="0" builtinId="0"/>
  </cellStyles>
  <dxfs count="26">
    <dxf>
      <font>
        <strike val="0"/>
        <condense val="0"/>
        <extend val="0"/>
        <outline val="0"/>
        <shadow val="0"/>
        <u val="none"/>
        <vertAlign val="baseline"/>
        <sz val="18"/>
        <color theme="0"/>
        <name val="Amasis MT Pro Black"/>
        <family val="1"/>
        <scheme val="none"/>
      </font>
      <numFmt numFmtId="0" formatCode="General"/>
      <fill>
        <patternFill>
          <fgColor indexed="64"/>
          <bgColor theme="0"/>
        </patternFill>
      </fill>
      <alignment horizontal="center" vertical="center"/>
    </dxf>
    <dxf>
      <font>
        <strike val="0"/>
        <condense val="0"/>
        <extend val="0"/>
        <outline val="0"/>
        <shadow val="0"/>
        <u val="none"/>
        <vertAlign val="baseline"/>
        <sz val="16"/>
        <color theme="0"/>
        <name val="Amasis MT Pro Black"/>
        <family val="1"/>
        <scheme val="none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condense val="0"/>
        <extend val="0"/>
        <outline val="0"/>
        <shadow val="0"/>
        <u val="none"/>
        <vertAlign val="baseline"/>
        <sz val="16"/>
        <color theme="0"/>
        <name val="Amasis MT Pro Black"/>
        <family val="1"/>
        <scheme val="none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condense val="0"/>
        <extend val="0"/>
        <outline val="0"/>
        <shadow val="0"/>
        <u val="none"/>
        <vertAlign val="baseline"/>
        <sz val="16"/>
        <color theme="0"/>
        <name val="Amasis MT Pro Black"/>
        <family val="1"/>
        <scheme val="none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condense val="0"/>
        <extend val="0"/>
        <outline val="0"/>
        <shadow val="0"/>
        <u val="none"/>
        <vertAlign val="baseline"/>
        <sz val="16"/>
        <color theme="0"/>
        <name val="Amasis MT Pro Black"/>
        <family val="1"/>
        <scheme val="none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condense val="0"/>
        <extend val="0"/>
        <outline val="0"/>
        <shadow val="0"/>
        <u val="none"/>
        <vertAlign val="baseline"/>
        <sz val="18"/>
        <color theme="0"/>
        <name val="Amasis MT Pro Black"/>
        <family val="1"/>
        <scheme val="none"/>
      </font>
      <numFmt numFmtId="0" formatCode="General"/>
      <fill>
        <patternFill patternType="solid">
          <fgColor indexed="64"/>
          <bgColor theme="9"/>
        </patternFill>
      </fill>
      <alignment horizontal="center" vertical="center"/>
    </dxf>
    <dxf>
      <font>
        <strike val="0"/>
        <condense val="0"/>
        <extend val="0"/>
        <outline val="0"/>
        <shadow val="0"/>
        <u val="none"/>
        <vertAlign val="baseline"/>
        <sz val="18"/>
        <color theme="1"/>
        <name val="Amasis MT Pro Black"/>
        <family val="1"/>
        <scheme val="none"/>
      </font>
      <fill>
        <patternFill>
          <fgColor indexed="64"/>
          <bgColor theme="0"/>
        </patternFill>
      </fill>
      <alignment horizontal="center" vertical="center"/>
    </dxf>
    <dxf>
      <font>
        <b/>
        <strike val="0"/>
        <condense val="0"/>
        <extend val="0"/>
        <outline val="0"/>
        <shadow val="0"/>
        <u val="none"/>
        <vertAlign val="baseline"/>
        <sz val="20"/>
        <color theme="1"/>
        <name val="Amasis MT Pro Black"/>
        <family val="1"/>
        <scheme val="none"/>
      </font>
      <fill>
        <patternFill patternType="solid">
          <fgColor indexed="64"/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 patternType="solid">
          <bgColor rgb="FF0070C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F062B35-94E9-45C6-A3DB-8B5332C4B648}" autoFormatId="16" applyNumberFormats="0" applyBorderFormats="0" applyFontFormats="0" applyPatternFormats="0" applyAlignmentFormats="0" applyWidthHeightFormats="0">
  <queryTableRefresh nextId="11">
    <queryTableFields count="5">
      <queryTableField id="6" name="Unit" tableColumnId="6"/>
      <queryTableField id="7" name="Assignment 1" tableColumnId="7"/>
      <queryTableField id="8" name="Assignment 2" tableColumnId="8"/>
      <queryTableField id="9" name="Assignment 3" tableColumnId="9"/>
      <queryTableField id="10" name="Assignment 4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4D17748-FDCE-4462-AC39-D05F58C93527}" name="data" displayName="data" ref="A1:E9" tableType="queryTable" totalsRowShown="0">
  <autoFilter ref="A1:E9" xr:uid="{E4D17748-FDCE-4462-AC39-D05F58C93527}"/>
  <tableColumns count="5">
    <tableColumn id="6" xr3:uid="{1E0B62BF-2FA8-440B-942B-C85FD9485C8A}" uniqueName="6" name="Unit" queryTableFieldId="6" dataDxfId="25"/>
    <tableColumn id="7" xr3:uid="{ECDE9335-3B61-46FD-853D-926D2A032B4D}" uniqueName="7" name="Assignment 1" queryTableFieldId="7" dataDxfId="24"/>
    <tableColumn id="8" xr3:uid="{E362452E-496C-4BF7-979C-1C73E95FB2D0}" uniqueName="8" name="Assignment 2" queryTableFieldId="8" dataDxfId="23"/>
    <tableColumn id="9" xr3:uid="{54EA7D4E-B202-47C9-AAFC-DC93514E5274}" uniqueName="9" name="Assignment 3" queryTableFieldId="9" dataDxfId="22"/>
    <tableColumn id="10" xr3:uid="{ACE4C21A-480B-4687-8EFE-BCE9856AB377}" uniqueName="10" name="Assignment 4" queryTableFieldId="10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8" totalsRowShown="0" headerRowDxfId="7" dataDxfId="6">
  <autoFilter ref="A1:F8" xr:uid="{00000000-0009-0000-0100-000001000000}"/>
  <tableColumns count="6">
    <tableColumn id="1" xr3:uid="{00000000-0010-0000-0000-000001000000}" name="Unit" dataDxfId="5">
      <calculatedColumnFormula>data[[#This Row],[Unit]]</calculatedColumnFormula>
    </tableColumn>
    <tableColumn id="2" xr3:uid="{00000000-0010-0000-0000-000002000000}" name="Assignment 1" dataDxfId="4">
      <calculatedColumnFormula>data[[#This Row],[Assignment 1]]</calculatedColumnFormula>
    </tableColumn>
    <tableColumn id="3" xr3:uid="{00000000-0010-0000-0000-000003000000}" name="Assignment 2" dataDxfId="3">
      <calculatedColumnFormula>#REF!</calculatedColumnFormula>
    </tableColumn>
    <tableColumn id="4" xr3:uid="{00000000-0010-0000-0000-000004000000}" name="Assignment 3" dataDxfId="2">
      <calculatedColumnFormula>#REF!</calculatedColumnFormula>
    </tableColumn>
    <tableColumn id="5" xr3:uid="{00000000-0010-0000-0000-000005000000}" name="Assignment 4" dataDxfId="1">
      <calculatedColumnFormula>#REF!</calculatedColumnFormula>
    </tableColumn>
    <tableColumn id="6" xr3:uid="{00000000-0010-0000-0000-000006000000}" name="Predicted" dataDxfId="0">
      <calculatedColumnFormula array="1">IF(COUNTIF(Table1[[#This Row],[Assignment 1]:[Assignment 4]], "Refer")&gt;0, "Fail",
IF(SUM(IF(Table1[[#This Row],[Assignment 1]:[Assignment 4]]="Distinction",4,IF(Table1[[#This Row],[Assignment 1]:[Assignment 4]]="Merit",3,IF(Table1[[#This Row],[Assignment 1]:[Assignment 4]]="Pass",2,1))))&gt;=9.5,"Distinction",
IF(SUM(IF(Table1[[#This Row],[Assignment 1]:[Assignment 4]]="Distinction",4,IF(Table1[[#This Row],[Assignment 1]:[Assignment 4]]="Merit",3,IF(Table1[[#This Row],[Assignment 1]:[Assignment 4]]="Pass",2,1))))&gt;=8,"Merit",
IF(SUM(IF(Table1[[#This Row],[Assignment 1]:[Assignment 4]]="Distinction",4,IF(Table1[[#This Row],[Assignment 1]:[Assignment 4]]="Merit",3,IF(Table1[[#This Row],[Assignment 1]:[Assignment 4]]="Pass",2,1))))&gt;=6,"Pass","Fail"))))</calculatedColumnFormula>
    </tableColumn>
  </tableColumns>
  <tableStyleInfo name="TableStyleDark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53FE6-7D71-4CB1-8393-0B4C1EEC5204}">
  <sheetPr codeName="Sheet2"/>
  <dimension ref="A1:E9"/>
  <sheetViews>
    <sheetView tabSelected="1" workbookViewId="0">
      <selection activeCell="C7" sqref="C7"/>
    </sheetView>
  </sheetViews>
  <sheetFormatPr defaultRowHeight="14.5" x14ac:dyDescent="0.35"/>
  <cols>
    <col min="1" max="1" width="6.7265625" bestFit="1" customWidth="1"/>
    <col min="2" max="2" width="14.453125" bestFit="1" customWidth="1"/>
    <col min="3" max="4" width="23.1796875" bestFit="1" customWidth="1"/>
    <col min="5" max="5" width="14.26953125" bestFit="1" customWidth="1"/>
    <col min="6" max="6" width="10.54296875" bestFit="1" customWidth="1"/>
    <col min="7" max="9" width="23.1796875" bestFit="1" customWidth="1"/>
    <col min="10" max="10" width="11.81640625" bestFit="1" customWidth="1"/>
  </cols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 t="s">
        <v>6</v>
      </c>
      <c r="B2" t="s">
        <v>7</v>
      </c>
      <c r="C2" t="s">
        <v>8</v>
      </c>
      <c r="D2" t="s">
        <v>9</v>
      </c>
      <c r="E2" t="s">
        <v>10</v>
      </c>
    </row>
    <row r="3" spans="1:5" x14ac:dyDescent="0.35">
      <c r="A3" t="s">
        <v>11</v>
      </c>
      <c r="B3" t="s">
        <v>9</v>
      </c>
      <c r="C3" t="s">
        <v>10</v>
      </c>
      <c r="D3" t="s">
        <v>12</v>
      </c>
      <c r="E3" t="s">
        <v>13</v>
      </c>
    </row>
    <row r="4" spans="1:5" x14ac:dyDescent="0.35">
      <c r="A4" t="s">
        <v>14</v>
      </c>
      <c r="B4" t="s">
        <v>15</v>
      </c>
      <c r="C4" t="s">
        <v>15</v>
      </c>
      <c r="D4" t="s">
        <v>16</v>
      </c>
      <c r="E4" t="s">
        <v>13</v>
      </c>
    </row>
    <row r="5" spans="1:5" x14ac:dyDescent="0.35">
      <c r="A5" t="s">
        <v>17</v>
      </c>
      <c r="B5" t="s">
        <v>10</v>
      </c>
      <c r="C5" t="s">
        <v>8</v>
      </c>
      <c r="D5" t="s">
        <v>7</v>
      </c>
      <c r="E5" t="s">
        <v>13</v>
      </c>
    </row>
    <row r="6" spans="1:5" x14ac:dyDescent="0.35">
      <c r="A6" t="s">
        <v>18</v>
      </c>
      <c r="B6" t="s">
        <v>10</v>
      </c>
      <c r="C6" t="s">
        <v>19</v>
      </c>
      <c r="D6" t="s">
        <v>13</v>
      </c>
      <c r="E6" t="s">
        <v>13</v>
      </c>
    </row>
    <row r="7" spans="1:5" x14ac:dyDescent="0.35">
      <c r="A7" t="s">
        <v>20</v>
      </c>
      <c r="B7" t="s">
        <v>10</v>
      </c>
      <c r="C7" t="s">
        <v>8</v>
      </c>
      <c r="D7" t="s">
        <v>7</v>
      </c>
      <c r="E7" t="s">
        <v>13</v>
      </c>
    </row>
    <row r="8" spans="1:5" x14ac:dyDescent="0.35">
      <c r="A8" t="s">
        <v>21</v>
      </c>
      <c r="B8" t="s">
        <v>9</v>
      </c>
      <c r="C8" t="s">
        <v>10</v>
      </c>
      <c r="D8" t="s">
        <v>9</v>
      </c>
      <c r="E8" t="s">
        <v>13</v>
      </c>
    </row>
    <row r="9" spans="1:5" x14ac:dyDescent="0.35">
      <c r="A9" t="s">
        <v>22</v>
      </c>
      <c r="B9" t="s">
        <v>15</v>
      </c>
      <c r="C9" t="s">
        <v>13</v>
      </c>
      <c r="D9" t="s">
        <v>13</v>
      </c>
      <c r="E9" t="s">
        <v>13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8"/>
  <sheetViews>
    <sheetView zoomScale="85" zoomScaleNormal="85" workbookViewId="0">
      <selection activeCell="C18" sqref="C18"/>
    </sheetView>
  </sheetViews>
  <sheetFormatPr defaultColWidth="9.1796875" defaultRowHeight="14.5" x14ac:dyDescent="0.35"/>
  <cols>
    <col min="1" max="1" width="20.26953125" style="2" customWidth="1"/>
    <col min="2" max="2" width="49.54296875" style="2" customWidth="1"/>
    <col min="3" max="3" width="52" style="2" customWidth="1"/>
    <col min="4" max="4" width="57.453125" style="2" customWidth="1"/>
    <col min="5" max="5" width="56.1796875" style="2" customWidth="1"/>
    <col min="6" max="6" width="36.81640625" style="2" customWidth="1"/>
    <col min="7" max="7" width="29.1796875" style="2" customWidth="1"/>
    <col min="8" max="8" width="22.81640625" style="2" customWidth="1"/>
    <col min="9" max="16384" width="9.1796875" style="2"/>
  </cols>
  <sheetData>
    <row r="1" spans="1:8" ht="60" customHeight="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H1" s="7"/>
    </row>
    <row r="2" spans="1:8" ht="50.15" customHeight="1" x14ac:dyDescent="0.5">
      <c r="A2" s="1" t="str">
        <f>data[[#This Row],[Unit]]</f>
        <v>Unit 01</v>
      </c>
      <c r="B2" s="4" t="str">
        <f>data[[#This Row],[Assignment 1]]</f>
        <v>Not released yet</v>
      </c>
      <c r="C2" s="4" t="str">
        <f>data[[#This Row],[Assignment 2]]</f>
        <v>Pass</v>
      </c>
      <c r="D2" s="4" t="str">
        <f>data[[#This Row],[Assignment 3]]</f>
        <v>Distinction</v>
      </c>
      <c r="E2" s="4" t="str">
        <f>data[[#This Row],[Assignment 4]]</f>
        <v>Merit</v>
      </c>
      <c r="F2" s="6" t="str" cm="1">
        <f t="array" ref="F2">IF(COUNTIF(Table1[[#This Row],[Assignment 1]:[Assignment 4]], "Refer")&gt;0, "Fail",
IF(SUM(IF(Table1[[#This Row],[Assignment 1]:[Assignment 4]]="Distinction",4,IF(Table1[[#This Row],[Assignment 1]:[Assignment 4]]="Merit",3,IF(Table1[[#This Row],[Assignment 1]:[Assignment 4]]="Pass",2,1))))&gt;=9.5,"Distinction",
IF(SUM(IF(Table1[[#This Row],[Assignment 1]:[Assignment 4]]="Distinction",4,IF(Table1[[#This Row],[Assignment 1]:[Assignment 4]]="Merit",3,IF(Table1[[#This Row],[Assignment 1]:[Assignment 4]]="Pass",2,1))))&gt;=8,"Merit",
IF(SUM(IF(Table1[[#This Row],[Assignment 1]:[Assignment 4]]="Distinction",4,IF(Table1[[#This Row],[Assignment 1]:[Assignment 4]]="Merit",3,IF(Table1[[#This Row],[Assignment 1]:[Assignment 4]]="Pass",2,1))))&gt;=6,"Pass","Fail"))))</f>
        <v>Distinction</v>
      </c>
      <c r="H2" s="5"/>
    </row>
    <row r="3" spans="1:8" ht="50.15" customHeight="1" x14ac:dyDescent="0.5">
      <c r="A3" s="1" t="str">
        <f>data[[#This Row],[Unit]]</f>
        <v>Unit 12</v>
      </c>
      <c r="B3" s="4" t="str">
        <f>data[[#This Row],[Assignment 1]]</f>
        <v>Distinction</v>
      </c>
      <c r="C3" s="4" t="str">
        <f>data[[#This Row],[Assignment 2]]</f>
        <v>Merit</v>
      </c>
      <c r="D3" s="4" t="str">
        <f>data[[#This Row],[Assignment 3]]</f>
        <v>Not Submitted 28/04/2023</v>
      </c>
      <c r="E3" s="4" t="str">
        <f>data[[#This Row],[Assignment 4]]</f>
        <v>N/A</v>
      </c>
      <c r="F3" s="6" t="str">
        <f t="array" ref="F3">IF(COUNTIF(Table1[[#This Row],[Assignment 1]:[Assignment 4]], "Refer")&gt;0, "Fail",
IF(SUM(IF(Table1[[#This Row],[Assignment 1]:[Assignment 4]]="Distinction",4,IF(Table1[[#This Row],[Assignment 1]:[Assignment 4]]="Merit",3,IF(Table1[[#This Row],[Assignment 1]:[Assignment 4]]="Pass",2,1))))&gt;=9.5,"Distinction",
IF(SUM(IF(Table1[[#This Row],[Assignment 1]:[Assignment 4]]="Distinction",4,IF(Table1[[#This Row],[Assignment 1]:[Assignment 4]]="Merit",3,IF(Table1[[#This Row],[Assignment 1]:[Assignment 4]]="Pass",2,1))))&gt;=8,"Merit",
IF(SUM(IF(Table1[[#This Row],[Assignment 1]:[Assignment 4]]="Distinction",4,IF(Table1[[#This Row],[Assignment 1]:[Assignment 4]]="Merit",3,IF(Table1[[#This Row],[Assignment 1]:[Assignment 4]]="Pass",2,1))))&gt;=6,"Pass","Fail"))))</f>
        <v>Merit</v>
      </c>
      <c r="H3" s="5"/>
    </row>
    <row r="4" spans="1:8" ht="50.15" customHeight="1" x14ac:dyDescent="0.5">
      <c r="A4" s="1" t="str">
        <f>data[[#This Row],[Unit]]</f>
        <v>Unit 14</v>
      </c>
      <c r="B4" s="4" t="str">
        <f>data[[#This Row],[Assignment 1]]</f>
        <v>Not graded yet</v>
      </c>
      <c r="C4" s="4" t="str">
        <f>data[[#This Row],[Assignment 2]]</f>
        <v>Not graded yet</v>
      </c>
      <c r="D4" s="4" t="str">
        <f>data[[#This Row],[Assignment 3]]</f>
        <v>Not Submitted 13/03/2023</v>
      </c>
      <c r="E4" s="4" t="str">
        <f>data[[#This Row],[Assignment 4]]</f>
        <v>N/A</v>
      </c>
      <c r="F4" s="6" t="str">
        <f t="array" ref="F4">IF(COUNTIF(Table1[[#This Row],[Assignment 1]:[Assignment 4]], "Refer")&gt;0, "Fail",
IF(SUM(IF(Table1[[#This Row],[Assignment 1]:[Assignment 4]]="Distinction",4,IF(Table1[[#This Row],[Assignment 1]:[Assignment 4]]="Merit",3,IF(Table1[[#This Row],[Assignment 1]:[Assignment 4]]="Pass",2,1))))&gt;=9.5,"Distinction",
IF(SUM(IF(Table1[[#This Row],[Assignment 1]:[Assignment 4]]="Distinction",4,IF(Table1[[#This Row],[Assignment 1]:[Assignment 4]]="Merit",3,IF(Table1[[#This Row],[Assignment 1]:[Assignment 4]]="Pass",2,1))))&gt;=8,"Merit",
IF(SUM(IF(Table1[[#This Row],[Assignment 1]:[Assignment 4]]="Distinction",4,IF(Table1[[#This Row],[Assignment 1]:[Assignment 4]]="Merit",3,IF(Table1[[#This Row],[Assignment 1]:[Assignment 4]]="Pass",2,1))))&gt;=6,"Pass","Fail"))))</f>
        <v>Fail</v>
      </c>
      <c r="H4" s="5"/>
    </row>
    <row r="5" spans="1:8" ht="50.15" customHeight="1" x14ac:dyDescent="0.5">
      <c r="A5" s="1" t="str">
        <f>data[[#This Row],[Unit]]</f>
        <v>Unit 18</v>
      </c>
      <c r="B5" s="4" t="str">
        <f>data[[#This Row],[Assignment 1]]</f>
        <v>Merit</v>
      </c>
      <c r="C5" s="4" t="str">
        <f>data[[#This Row],[Assignment 2]]</f>
        <v>Pass</v>
      </c>
      <c r="D5" s="4" t="str">
        <f>data[[#This Row],[Assignment 3]]</f>
        <v>Not released yet</v>
      </c>
      <c r="E5" s="4" t="str">
        <f>data[[#This Row],[Assignment 4]]</f>
        <v>N/A</v>
      </c>
      <c r="F5" s="6" t="str">
        <f t="array" ref="F5">IF(COUNTIF(Table1[[#This Row],[Assignment 1]:[Assignment 4]], "Refer")&gt;0, "Fail",
IF(SUM(IF(Table1[[#This Row],[Assignment 1]:[Assignment 4]]="Distinction",4,IF(Table1[[#This Row],[Assignment 1]:[Assignment 4]]="Merit",3,IF(Table1[[#This Row],[Assignment 1]:[Assignment 4]]="Pass",2,1))))&gt;=9.5,"Distinction",
IF(SUM(IF(Table1[[#This Row],[Assignment 1]:[Assignment 4]]="Distinction",4,IF(Table1[[#This Row],[Assignment 1]:[Assignment 4]]="Merit",3,IF(Table1[[#This Row],[Assignment 1]:[Assignment 4]]="Pass",2,1))))&gt;=8,"Merit",
IF(SUM(IF(Table1[[#This Row],[Assignment 1]:[Assignment 4]]="Distinction",4,IF(Table1[[#This Row],[Assignment 1]:[Assignment 4]]="Merit",3,IF(Table1[[#This Row],[Assignment 1]:[Assignment 4]]="Pass",2,1))))&gt;=6,"Pass","Fail"))))</f>
        <v>Pass</v>
      </c>
      <c r="H5" s="5"/>
    </row>
    <row r="6" spans="1:8" ht="50.15" customHeight="1" x14ac:dyDescent="0.5">
      <c r="A6" s="1" t="str">
        <f>data[[#This Row],[Unit]]</f>
        <v>Unit 30</v>
      </c>
      <c r="B6" s="4" t="str">
        <f>data[[#This Row],[Assignment 1]]</f>
        <v>Merit</v>
      </c>
      <c r="C6" s="4" t="str">
        <f>data[[#This Row],[Assignment 2]]</f>
        <v>Not Submitted 11/05/2023</v>
      </c>
      <c r="D6" s="4" t="str">
        <f>data[[#This Row],[Assignment 3]]</f>
        <v>N/A</v>
      </c>
      <c r="E6" s="4" t="str">
        <f>data[[#This Row],[Assignment 4]]</f>
        <v>N/A</v>
      </c>
      <c r="F6" s="6" t="str">
        <f t="array" ref="F6">IF(COUNTIF(Table1[[#This Row],[Assignment 1]:[Assignment 4]], "Refer")&gt;0, "Fail",
IF(SUM(IF(Table1[[#This Row],[Assignment 1]:[Assignment 4]]="Distinction",4,IF(Table1[[#This Row],[Assignment 1]:[Assignment 4]]="Merit",3,IF(Table1[[#This Row],[Assignment 1]:[Assignment 4]]="Pass",2,1))))&gt;=9.5,"Distinction",
IF(SUM(IF(Table1[[#This Row],[Assignment 1]:[Assignment 4]]="Distinction",4,IF(Table1[[#This Row],[Assignment 1]:[Assignment 4]]="Merit",3,IF(Table1[[#This Row],[Assignment 1]:[Assignment 4]]="Pass",2,1))))&gt;=8,"Merit",
IF(SUM(IF(Table1[[#This Row],[Assignment 1]:[Assignment 4]]="Distinction",4,IF(Table1[[#This Row],[Assignment 1]:[Assignment 4]]="Merit",3,IF(Table1[[#This Row],[Assignment 1]:[Assignment 4]]="Pass",2,1))))&gt;=6,"Pass","Fail"))))</f>
        <v>Pass</v>
      </c>
      <c r="H6" s="5"/>
    </row>
    <row r="7" spans="1:8" ht="50.15" customHeight="1" x14ac:dyDescent="0.5">
      <c r="A7" s="1" t="str">
        <f>data[[#This Row],[Unit]]</f>
        <v>Unit 31</v>
      </c>
      <c r="B7" s="4" t="str">
        <f>data[[#This Row],[Assignment 1]]</f>
        <v>Merit</v>
      </c>
      <c r="C7" s="4" t="str">
        <f>data[[#This Row],[Assignment 2]]</f>
        <v>Pass</v>
      </c>
      <c r="D7" s="4" t="str">
        <f>data[[#This Row],[Assignment 3]]</f>
        <v>Not released yet</v>
      </c>
      <c r="E7" s="4" t="str">
        <f>data[[#This Row],[Assignment 4]]</f>
        <v>N/A</v>
      </c>
      <c r="F7" s="6" t="str">
        <f t="array" ref="F7">IF(COUNTIF(Table1[[#This Row],[Assignment 1]:[Assignment 4]], "Refer")&gt;0, "Fail",
IF(SUM(IF(Table1[[#This Row],[Assignment 1]:[Assignment 4]]="Distinction",4,IF(Table1[[#This Row],[Assignment 1]:[Assignment 4]]="Merit",3,IF(Table1[[#This Row],[Assignment 1]:[Assignment 4]]="Pass",2,1))))&gt;=9.5,"Distinction",
IF(SUM(IF(Table1[[#This Row],[Assignment 1]:[Assignment 4]]="Distinction",4,IF(Table1[[#This Row],[Assignment 1]:[Assignment 4]]="Merit",3,IF(Table1[[#This Row],[Assignment 1]:[Assignment 4]]="Pass",2,1))))&gt;=8,"Merit",
IF(SUM(IF(Table1[[#This Row],[Assignment 1]:[Assignment 4]]="Distinction",4,IF(Table1[[#This Row],[Assignment 1]:[Assignment 4]]="Merit",3,IF(Table1[[#This Row],[Assignment 1]:[Assignment 4]]="Pass",2,1))))&gt;=6,"Pass","Fail"))))</f>
        <v>Pass</v>
      </c>
      <c r="H7" s="5"/>
    </row>
    <row r="8" spans="1:8" ht="50.15" customHeight="1" x14ac:dyDescent="0.5">
      <c r="A8" s="1" t="str">
        <f>data[[#This Row],[Unit]]</f>
        <v>Unit 42</v>
      </c>
      <c r="B8" s="4" t="str">
        <f>data[[#This Row],[Assignment 1]]</f>
        <v>Distinction</v>
      </c>
      <c r="C8" s="4" t="str">
        <f>data[[#This Row],[Assignment 2]]</f>
        <v>Merit</v>
      </c>
      <c r="D8" s="4" t="str">
        <f>data[[#This Row],[Assignment 3]]</f>
        <v>Distinction</v>
      </c>
      <c r="E8" s="4" t="str">
        <f>data[[#This Row],[Assignment 4]]</f>
        <v>N/A</v>
      </c>
      <c r="F8" s="6" t="str">
        <f t="array" ref="F8">IF(COUNTIF(Table1[[#This Row],[Assignment 1]:[Assignment 4]], "Refer")&gt;0, "Fail",
IF(SUM(IF(Table1[[#This Row],[Assignment 1]:[Assignment 4]]="Distinction",4,IF(Table1[[#This Row],[Assignment 1]:[Assignment 4]]="Merit",3,IF(Table1[[#This Row],[Assignment 1]:[Assignment 4]]="Pass",2,1))))&gt;=9.5,"Distinction",
IF(SUM(IF(Table1[[#This Row],[Assignment 1]:[Assignment 4]]="Distinction",4,IF(Table1[[#This Row],[Assignment 1]:[Assignment 4]]="Merit",3,IF(Table1[[#This Row],[Assignment 1]:[Assignment 4]]="Pass",2,1))))&gt;=8,"Merit",
IF(SUM(IF(Table1[[#This Row],[Assignment 1]:[Assignment 4]]="Distinction",4,IF(Table1[[#This Row],[Assignment 1]:[Assignment 4]]="Merit",3,IF(Table1[[#This Row],[Assignment 1]:[Assignment 4]]="Pass",2,1))))&gt;=6,"Pass","Fail"))))</f>
        <v>Distinction</v>
      </c>
      <c r="H8" s="5"/>
    </row>
  </sheetData>
  <conditionalFormatting sqref="B2:E8">
    <cfRule type="containsText" dxfId="20" priority="1" operator="containsText" text="Refer">
      <formula>NOT(ISERROR(SEARCH("Refer",B2)))</formula>
    </cfRule>
    <cfRule type="containsText" dxfId="19" priority="8" operator="containsText" text="N/A">
      <formula>NOT(ISERROR(SEARCH("N/A",B2)))</formula>
    </cfRule>
    <cfRule type="containsText" dxfId="18" priority="9" operator="containsText" text="Not achieved">
      <formula>NOT(ISERROR(SEARCH("Not achieved",B2)))</formula>
    </cfRule>
    <cfRule type="containsText" dxfId="17" priority="10" operator="containsText" text="Not graded Yet">
      <formula>NOT(ISERROR(SEARCH("Not graded Yet",B2)))</formula>
    </cfRule>
    <cfRule type="containsText" dxfId="16" priority="11" operator="containsText" text="Merit">
      <formula>NOT(ISERROR(SEARCH("Merit",B2)))</formula>
    </cfRule>
    <cfRule type="containsText" dxfId="15" priority="12" operator="containsText" text="Distinction">
      <formula>NOT(ISERROR(SEARCH("Distinction",B2)))</formula>
    </cfRule>
    <cfRule type="containsText" dxfId="14" priority="13" operator="containsText" text="Pass">
      <formula>NOT(ISERROR(SEARCH("Pass",B2)))</formula>
    </cfRule>
    <cfRule type="containsText" dxfId="13" priority="14" operator="containsText" text="Not released yet">
      <formula>NOT(ISERROR(SEARCH("Not released yet",B2)))</formula>
    </cfRule>
  </conditionalFormatting>
  <conditionalFormatting sqref="F2:F8">
    <cfRule type="containsText" dxfId="12" priority="3" operator="containsText" text="Distinction">
      <formula>NOT(ISERROR(SEARCH("Distinction",F2)))</formula>
    </cfRule>
    <cfRule type="containsText" dxfId="11" priority="4" operator="containsText" text="Merit">
      <formula>NOT(ISERROR(SEARCH("Merit",F2)))</formula>
    </cfRule>
    <cfRule type="containsText" dxfId="10" priority="5" operator="containsText" text="Pass">
      <formula>NOT(ISERROR(SEARCH("Pass",F2)))</formula>
    </cfRule>
    <cfRule type="containsText" dxfId="9" priority="6" operator="containsText" text="Fail">
      <formula>NOT(ISERROR(SEARCH("Fail",F2)))</formula>
    </cfRule>
  </conditionalFormatting>
  <conditionalFormatting sqref="A1:F8">
    <cfRule type="containsText" dxfId="8" priority="2" operator="containsText" text="Not Submitted">
      <formula>NOT(ISERROR(SEARCH("Not Submitted",A1)))</formula>
    </cfRule>
  </conditionalFormatting>
  <pageMargins left="0.75" right="0.75" top="1" bottom="1" header="0.5" footer="0.5"/>
  <pageSetup paperSize="9" orientation="portrait" horizontalDpi="0" verticalDpi="0" r:id="rId1"/>
  <ignoredErrors>
    <ignoredError sqref="C7" calculatedColumn="1"/>
  </ignoredErrors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741B0C-4548-4185-B1F5-78BE00FBF4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lucas osborne</cp:lastModifiedBy>
  <dcterms:created xsi:type="dcterms:W3CDTF">2023-02-22T21:48:55Z</dcterms:created>
  <dcterms:modified xsi:type="dcterms:W3CDTF">2023-04-18T09:32:36Z</dcterms:modified>
</cp:coreProperties>
</file>